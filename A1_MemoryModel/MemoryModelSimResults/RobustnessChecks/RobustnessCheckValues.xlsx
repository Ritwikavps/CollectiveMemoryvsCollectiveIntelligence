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ritwikavps/Desktop/GoogleDriveFiles/research/CollectiveMemoryvsCollectiveIntelligence/A1_MemoryModel/MemoryModelSimResults/"/>
    </mc:Choice>
  </mc:AlternateContent>
  <xr:revisionPtr revIDLastSave="0" documentId="13_ncr:1_{FE870953-BC8D-1A42-B9B1-CFCBDE78C955}" xr6:coauthVersionLast="47" xr6:coauthVersionMax="47" xr10:uidLastSave="{00000000-0000-0000-0000-000000000000}"/>
  <bookViews>
    <workbookView xWindow="0" yWindow="760" windowWidth="30240" windowHeight="17680" xr2:uid="{98002ADA-4483-554C-9568-7AC882F406F8}"/>
  </bookViews>
  <sheets>
    <sheet name="Data"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1" l="1"/>
  <c r="K10" i="1" s="1"/>
  <c r="J17" i="1"/>
  <c r="K17" i="1" s="1"/>
  <c r="J16" i="1"/>
  <c r="K16" i="1" s="1"/>
  <c r="J15" i="1"/>
  <c r="K15" i="1" s="1"/>
  <c r="J14" i="1"/>
  <c r="K14" i="1" s="1"/>
  <c r="J13" i="1"/>
  <c r="K13" i="1" s="1"/>
  <c r="J12" i="1"/>
  <c r="K12" i="1" s="1"/>
  <c r="H10" i="1"/>
  <c r="I10" i="1" s="1"/>
  <c r="H17" i="1"/>
  <c r="I17" i="1" s="1"/>
  <c r="H16" i="1"/>
  <c r="I16" i="1" s="1"/>
  <c r="H15" i="1"/>
  <c r="I15" i="1" s="1"/>
  <c r="H14" i="1"/>
  <c r="I14" i="1" s="1"/>
  <c r="H13" i="1"/>
  <c r="I13" i="1" s="1"/>
  <c r="H12" i="1"/>
  <c r="I12" i="1" s="1"/>
  <c r="K2" i="1"/>
  <c r="J3" i="1"/>
  <c r="K3" i="1" s="1"/>
  <c r="J4" i="1"/>
  <c r="K4" i="1" s="1"/>
  <c r="J5" i="1"/>
  <c r="K5" i="1" s="1"/>
  <c r="J6" i="1"/>
  <c r="K6" i="1" s="1"/>
  <c r="J7" i="1"/>
  <c r="K7" i="1" s="1"/>
  <c r="J8" i="1"/>
  <c r="K8" i="1" s="1"/>
  <c r="J9" i="1"/>
  <c r="K9" i="1" s="1"/>
  <c r="J11" i="1"/>
  <c r="K11" i="1" s="1"/>
  <c r="J2" i="1"/>
  <c r="H3" i="1"/>
  <c r="I3" i="1" s="1"/>
  <c r="H4" i="1"/>
  <c r="I4" i="1" s="1"/>
  <c r="H5" i="1"/>
  <c r="I5" i="1" s="1"/>
  <c r="H6" i="1"/>
  <c r="I6" i="1" s="1"/>
  <c r="H7" i="1"/>
  <c r="I7" i="1" s="1"/>
  <c r="H8" i="1"/>
  <c r="I8" i="1" s="1"/>
  <c r="H9" i="1"/>
  <c r="I9" i="1" s="1"/>
  <c r="H11" i="1"/>
  <c r="I11" i="1" s="1"/>
  <c r="H2" i="1"/>
  <c r="I2" i="1" s="1"/>
</calcChain>
</file>

<file path=xl/sharedStrings.xml><?xml version="1.0" encoding="utf-8"?>
<sst xmlns="http://schemas.openxmlformats.org/spreadsheetml/2006/main" count="73" uniqueCount="30">
  <si>
    <t>Na</t>
  </si>
  <si>
    <t>ma</t>
  </si>
  <si>
    <t>RedundNoRepBits</t>
  </si>
  <si>
    <t>Rounded_ma</t>
  </si>
  <si>
    <t>Rounded_Na</t>
  </si>
  <si>
    <t>BitAllocationProtocol</t>
  </si>
  <si>
    <t>TaskSize</t>
  </si>
  <si>
    <t>T_by_ma_Xax</t>
  </si>
  <si>
    <t>T_by_Na_Yax</t>
  </si>
  <si>
    <t xml:space="preserve">This 'Data' sheet contains info about N_a and m_a  values used for robustness checks testing sensitivity of results on the number of 'trials' (i.e., the number of groups, N_g); and corresponding T/N_a and T/m_a values used to test the sensitivity of results to the task size, T, for the Random Assignment  Without Redundancy (NoRedundRandom) and Random Assignment With Redundancy (RedundNoRepBits) task bit allocation protocols. </t>
  </si>
  <si>
    <t xml:space="preserve">These values were selected based on the CM-CI covered bits prpoportion figures (Subfigures B and C in the memory model main text figure) </t>
  </si>
  <si>
    <t>C</t>
  </si>
  <si>
    <t>B</t>
  </si>
  <si>
    <t>NoRedundRandom</t>
  </si>
  <si>
    <t>NumGroups</t>
  </si>
  <si>
    <t>MainTxtSubplotTitle</t>
  </si>
  <si>
    <t>SubplotTitleForSI</t>
  </si>
  <si>
    <t>A</t>
  </si>
  <si>
    <t xml:space="preserve">Finally, this table was made by hand by selecting points on the source .fig file for sub-figures B and C in the main text memory model figure, and copying T/Na, T/ma and task bit allocation protocol details for each point as well as task size and number of groups. See below for details on each column in the 'Data' sheet </t>
  </si>
  <si>
    <r>
      <t>BitAllocationProtocol</t>
    </r>
    <r>
      <rPr>
        <sz val="12"/>
        <color theme="1"/>
        <rFont val="Calibri"/>
        <family val="2"/>
        <scheme val="minor"/>
      </rPr>
      <t>: task bit allocation protocol (RedundNorepBits or NoRedundRandom)</t>
    </r>
  </si>
  <si>
    <r>
      <t>MainTxtSubplotTitle</t>
    </r>
    <r>
      <rPr>
        <sz val="12"/>
        <color theme="1"/>
        <rFont val="Calibri"/>
        <family val="2"/>
        <scheme val="minor"/>
      </rPr>
      <t>: subplot title (B or C) in the main text figure (to link to task bit allocation protocol after reading in figure handles from the source .fig file)</t>
    </r>
  </si>
  <si>
    <r>
      <t>SubplotTitleForSI</t>
    </r>
    <r>
      <rPr>
        <sz val="12"/>
        <color theme="1"/>
        <rFont val="Calibri"/>
        <family val="2"/>
        <scheme val="minor"/>
      </rPr>
      <t>: desired subplot title for the SI figure with selected points highlighted</t>
    </r>
  </si>
  <si>
    <r>
      <t>TaskSize</t>
    </r>
    <r>
      <rPr>
        <sz val="12"/>
        <color theme="1"/>
        <rFont val="Calibri"/>
        <family val="2"/>
        <scheme val="minor"/>
      </rPr>
      <t>: task size (constant for the entire core simulation)</t>
    </r>
  </si>
  <si>
    <r>
      <t>NumGroups</t>
    </r>
    <r>
      <rPr>
        <sz val="12"/>
        <color theme="1"/>
        <rFont val="Calibri"/>
        <family val="2"/>
        <scheme val="minor"/>
      </rPr>
      <t>: number of groups (equivalent to number of trials and constant for the entire core simulation)</t>
    </r>
  </si>
  <si>
    <r>
      <t>T_by_ma_Xax</t>
    </r>
    <r>
      <rPr>
        <sz val="12"/>
        <color theme="1"/>
        <rFont val="Calibri"/>
        <family val="2"/>
        <scheme val="minor"/>
      </rPr>
      <t>: T/ma value for the selected point (X axis in the main txt plots)</t>
    </r>
  </si>
  <si>
    <r>
      <t>T_by_Na_Yax</t>
    </r>
    <r>
      <rPr>
        <sz val="12"/>
        <color theme="1"/>
        <rFont val="Calibri"/>
        <family val="2"/>
        <scheme val="minor"/>
      </rPr>
      <t>: T/Na value for the selected point (Y axis in the main txt plots)</t>
    </r>
  </si>
  <si>
    <r>
      <t>ma</t>
    </r>
    <r>
      <rPr>
        <sz val="12"/>
        <color theme="1"/>
        <rFont val="Calibri"/>
        <family val="2"/>
        <scheme val="minor"/>
      </rPr>
      <t>: agent memory size computed by T/ma and T</t>
    </r>
  </si>
  <si>
    <r>
      <t>Rounded_ma</t>
    </r>
    <r>
      <rPr>
        <sz val="12"/>
        <color theme="1"/>
        <rFont val="Calibri"/>
        <family val="2"/>
        <scheme val="minor"/>
      </rPr>
      <t>: agent memory size rounded to the nearest integer (because actual agent memory size can only be a + integer in our sims)</t>
    </r>
  </si>
  <si>
    <r>
      <t>Na</t>
    </r>
    <r>
      <rPr>
        <sz val="12"/>
        <color theme="1"/>
        <rFont val="Calibri"/>
        <family val="2"/>
        <scheme val="minor"/>
      </rPr>
      <t>: Number of agents computed by T/Na and T</t>
    </r>
  </si>
  <si>
    <r>
      <t>Rounded_Na</t>
    </r>
    <r>
      <rPr>
        <sz val="12"/>
        <color theme="1"/>
        <rFont val="Calibri"/>
        <family val="2"/>
        <scheme val="minor"/>
      </rPr>
      <t>: number of agents rounded to the nearest integer (because actual agent number can only be a + integer)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</si>
</sst>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B396-5C82-9047-96B0-E7E3DCCF18B7}">
  <dimension ref="A1:K17"/>
  <sheetViews>
    <sheetView tabSelected="1" workbookViewId="0">
      <selection sqref="A1:K1"/>
    </sheetView>
  </sheetViews>
  <sheetFormatPr baseColWidth="10" defaultRowHeight="16" x14ac:dyDescent="0.2"/>
  <cols>
    <col min="1" max="1" width="19.33203125" customWidth="1"/>
    <col min="2" max="3" width="18.83203125" customWidth="1"/>
    <col min="4" max="5" width="12" customWidth="1"/>
    <col min="6" max="6" width="13.33203125" customWidth="1"/>
    <col min="7" max="7" width="13.1640625" customWidth="1"/>
    <col min="9" max="9" width="13.1640625" customWidth="1"/>
    <col min="11" max="11" width="12.6640625" customWidth="1"/>
    <col min="12" max="12" width="17" customWidth="1"/>
    <col min="16" max="16" width="13.6640625" customWidth="1"/>
    <col min="18" max="18" width="12.33203125" customWidth="1"/>
  </cols>
  <sheetData>
    <row r="1" spans="1:11" s="1" customFormat="1" x14ac:dyDescent="0.2">
      <c r="A1" s="1" t="s">
        <v>5</v>
      </c>
      <c r="B1" s="1" t="s">
        <v>15</v>
      </c>
      <c r="C1" s="1" t="s">
        <v>16</v>
      </c>
      <c r="D1" s="1" t="s">
        <v>6</v>
      </c>
      <c r="E1" s="1" t="s">
        <v>14</v>
      </c>
      <c r="F1" s="1" t="s">
        <v>7</v>
      </c>
      <c r="G1" s="1" t="s">
        <v>8</v>
      </c>
      <c r="H1" s="1" t="s">
        <v>1</v>
      </c>
      <c r="I1" s="1" t="s">
        <v>3</v>
      </c>
      <c r="J1" s="1" t="s">
        <v>0</v>
      </c>
      <c r="K1" s="1" t="s">
        <v>4</v>
      </c>
    </row>
    <row r="2" spans="1:11" x14ac:dyDescent="0.2">
      <c r="A2" s="2" t="s">
        <v>2</v>
      </c>
      <c r="B2" s="2" t="s">
        <v>11</v>
      </c>
      <c r="C2" s="2" t="s">
        <v>12</v>
      </c>
      <c r="D2">
        <v>20</v>
      </c>
      <c r="E2">
        <v>10000</v>
      </c>
      <c r="F2">
        <v>0.66666999999999998</v>
      </c>
      <c r="G2">
        <v>6.6666999999999996</v>
      </c>
      <c r="H2">
        <f>20/F2</f>
        <v>29.999850000749998</v>
      </c>
      <c r="I2">
        <f>ROUND(H2,0)</f>
        <v>30</v>
      </c>
      <c r="J2">
        <f>20/G2</f>
        <v>2.9999850000749997</v>
      </c>
      <c r="K2">
        <f>ROUND(J2,0)</f>
        <v>3</v>
      </c>
    </row>
    <row r="3" spans="1:11" x14ac:dyDescent="0.2">
      <c r="A3" s="2" t="s">
        <v>2</v>
      </c>
      <c r="B3" s="2" t="s">
        <v>11</v>
      </c>
      <c r="C3" s="2" t="s">
        <v>12</v>
      </c>
      <c r="D3">
        <v>20</v>
      </c>
      <c r="E3">
        <v>10000</v>
      </c>
      <c r="F3">
        <v>2.5</v>
      </c>
      <c r="G3">
        <v>6.6666999999999996</v>
      </c>
      <c r="H3">
        <f t="shared" ref="H3:H11" si="0">20/F3</f>
        <v>8</v>
      </c>
      <c r="I3">
        <f t="shared" ref="I3:I11" si="1">ROUND(H3,0)</f>
        <v>8</v>
      </c>
      <c r="J3">
        <f t="shared" ref="J3:J11" si="2">20/G3</f>
        <v>2.9999850000749997</v>
      </c>
      <c r="K3">
        <f t="shared" ref="K3:K11" si="3">ROUND(J3,0)</f>
        <v>3</v>
      </c>
    </row>
    <row r="4" spans="1:11" x14ac:dyDescent="0.2">
      <c r="A4" s="2" t="s">
        <v>2</v>
      </c>
      <c r="B4" s="2" t="s">
        <v>11</v>
      </c>
      <c r="C4" s="2" t="s">
        <v>12</v>
      </c>
      <c r="D4">
        <v>20</v>
      </c>
      <c r="E4">
        <v>10000</v>
      </c>
      <c r="F4">
        <v>6.6666999999999996</v>
      </c>
      <c r="G4">
        <v>6.6666999999999996</v>
      </c>
      <c r="H4">
        <f t="shared" si="0"/>
        <v>2.9999850000749997</v>
      </c>
      <c r="I4">
        <f t="shared" si="1"/>
        <v>3</v>
      </c>
      <c r="J4">
        <f t="shared" si="2"/>
        <v>2.9999850000749997</v>
      </c>
      <c r="K4">
        <f t="shared" si="3"/>
        <v>3</v>
      </c>
    </row>
    <row r="5" spans="1:11" x14ac:dyDescent="0.2">
      <c r="A5" s="2" t="s">
        <v>2</v>
      </c>
      <c r="B5" s="2" t="s">
        <v>11</v>
      </c>
      <c r="C5" s="2" t="s">
        <v>12</v>
      </c>
      <c r="D5">
        <v>20</v>
      </c>
      <c r="E5">
        <v>10000</v>
      </c>
      <c r="F5">
        <v>6.6666999999999996</v>
      </c>
      <c r="G5">
        <v>3.3332999999999999</v>
      </c>
      <c r="H5">
        <f t="shared" si="0"/>
        <v>2.9999850000749997</v>
      </c>
      <c r="I5">
        <f t="shared" si="1"/>
        <v>3</v>
      </c>
      <c r="J5">
        <f t="shared" si="2"/>
        <v>6.0000600006000058</v>
      </c>
      <c r="K5">
        <f t="shared" si="3"/>
        <v>6</v>
      </c>
    </row>
    <row r="6" spans="1:11" x14ac:dyDescent="0.2">
      <c r="A6" s="2" t="s">
        <v>2</v>
      </c>
      <c r="B6" s="2" t="s">
        <v>11</v>
      </c>
      <c r="C6" s="2" t="s">
        <v>12</v>
      </c>
      <c r="D6">
        <v>20</v>
      </c>
      <c r="E6">
        <v>10000</v>
      </c>
      <c r="F6">
        <v>2.5</v>
      </c>
      <c r="G6">
        <v>2.2222200000000001</v>
      </c>
      <c r="H6">
        <f t="shared" si="0"/>
        <v>8</v>
      </c>
      <c r="I6">
        <f t="shared" si="1"/>
        <v>8</v>
      </c>
      <c r="J6">
        <f t="shared" si="2"/>
        <v>9.0000090000089994</v>
      </c>
      <c r="K6">
        <f t="shared" si="3"/>
        <v>9</v>
      </c>
    </row>
    <row r="7" spans="1:11" x14ac:dyDescent="0.2">
      <c r="A7" s="2" t="s">
        <v>2</v>
      </c>
      <c r="B7" s="2" t="s">
        <v>11</v>
      </c>
      <c r="C7" s="2" t="s">
        <v>12</v>
      </c>
      <c r="D7">
        <v>20</v>
      </c>
      <c r="E7">
        <v>10000</v>
      </c>
      <c r="F7">
        <v>1.4285699999999999</v>
      </c>
      <c r="G7">
        <v>1.4285699999999999</v>
      </c>
      <c r="H7">
        <f t="shared" si="0"/>
        <v>14.000014000014001</v>
      </c>
      <c r="I7">
        <f t="shared" si="1"/>
        <v>14</v>
      </c>
      <c r="J7">
        <f t="shared" si="2"/>
        <v>14.000014000014001</v>
      </c>
      <c r="K7">
        <f t="shared" si="3"/>
        <v>14</v>
      </c>
    </row>
    <row r="8" spans="1:11" x14ac:dyDescent="0.2">
      <c r="A8" s="2" t="s">
        <v>2</v>
      </c>
      <c r="B8" s="2" t="s">
        <v>11</v>
      </c>
      <c r="C8" s="2" t="s">
        <v>12</v>
      </c>
      <c r="D8">
        <v>20</v>
      </c>
      <c r="E8">
        <v>10000</v>
      </c>
      <c r="F8">
        <v>0.66666999999999998</v>
      </c>
      <c r="G8">
        <v>0.66666999999999998</v>
      </c>
      <c r="H8">
        <f t="shared" si="0"/>
        <v>29.999850000749998</v>
      </c>
      <c r="I8">
        <f t="shared" si="1"/>
        <v>30</v>
      </c>
      <c r="J8">
        <f t="shared" si="2"/>
        <v>29.999850000749998</v>
      </c>
      <c r="K8">
        <f t="shared" si="3"/>
        <v>30</v>
      </c>
    </row>
    <row r="9" spans="1:11" x14ac:dyDescent="0.2">
      <c r="A9" s="2" t="s">
        <v>2</v>
      </c>
      <c r="B9" s="2" t="s">
        <v>11</v>
      </c>
      <c r="C9" s="2" t="s">
        <v>12</v>
      </c>
      <c r="D9">
        <v>20</v>
      </c>
      <c r="E9">
        <v>10000</v>
      </c>
      <c r="F9">
        <v>2.8571399999999998</v>
      </c>
      <c r="G9">
        <v>0.55555560000000004</v>
      </c>
      <c r="H9">
        <f t="shared" si="0"/>
        <v>7.0000070000070007</v>
      </c>
      <c r="I9">
        <f t="shared" si="1"/>
        <v>7</v>
      </c>
      <c r="J9">
        <f t="shared" si="2"/>
        <v>35.999997120000231</v>
      </c>
      <c r="K9">
        <f t="shared" si="3"/>
        <v>36</v>
      </c>
    </row>
    <row r="10" spans="1:11" x14ac:dyDescent="0.2">
      <c r="A10" s="2" t="s">
        <v>2</v>
      </c>
      <c r="B10" s="2" t="s">
        <v>11</v>
      </c>
      <c r="C10" s="2" t="s">
        <v>12</v>
      </c>
      <c r="D10">
        <v>20</v>
      </c>
      <c r="E10">
        <v>10000</v>
      </c>
      <c r="F10">
        <v>10</v>
      </c>
      <c r="G10">
        <v>0.769231</v>
      </c>
      <c r="H10">
        <f>20/F10</f>
        <v>2</v>
      </c>
      <c r="I10">
        <f>ROUND(H10,0)</f>
        <v>2</v>
      </c>
      <c r="J10">
        <f>20/G10</f>
        <v>25.999992200002339</v>
      </c>
      <c r="K10">
        <f>ROUND(J10,0)</f>
        <v>26</v>
      </c>
    </row>
    <row r="11" spans="1:11" x14ac:dyDescent="0.2">
      <c r="A11" t="s">
        <v>13</v>
      </c>
      <c r="B11" t="s">
        <v>12</v>
      </c>
      <c r="C11" s="4" t="s">
        <v>17</v>
      </c>
      <c r="D11">
        <v>20</v>
      </c>
      <c r="E11">
        <v>10000</v>
      </c>
      <c r="F11">
        <v>6.6666999999999996</v>
      </c>
      <c r="G11">
        <v>0.66666999999999998</v>
      </c>
      <c r="H11">
        <f t="shared" si="0"/>
        <v>2.9999850000749997</v>
      </c>
      <c r="I11">
        <f t="shared" si="1"/>
        <v>3</v>
      </c>
      <c r="J11">
        <f t="shared" si="2"/>
        <v>29.999850000749998</v>
      </c>
      <c r="K11">
        <f t="shared" si="3"/>
        <v>30</v>
      </c>
    </row>
    <row r="12" spans="1:11" x14ac:dyDescent="0.2">
      <c r="A12" t="s">
        <v>13</v>
      </c>
      <c r="B12" t="s">
        <v>12</v>
      </c>
      <c r="C12" s="4" t="s">
        <v>17</v>
      </c>
      <c r="D12">
        <v>20</v>
      </c>
      <c r="E12">
        <v>10000</v>
      </c>
      <c r="F12">
        <v>0.769231</v>
      </c>
      <c r="G12">
        <v>5</v>
      </c>
      <c r="H12">
        <f>20/F12</f>
        <v>25.999992200002339</v>
      </c>
      <c r="I12">
        <f>ROUND(H12,0)</f>
        <v>26</v>
      </c>
      <c r="J12">
        <f>20/G12</f>
        <v>4</v>
      </c>
      <c r="K12">
        <f>ROUND(J12,0)</f>
        <v>4</v>
      </c>
    </row>
    <row r="13" spans="1:11" x14ac:dyDescent="0.2">
      <c r="A13" t="s">
        <v>13</v>
      </c>
      <c r="B13" t="s">
        <v>12</v>
      </c>
      <c r="C13" s="4" t="s">
        <v>17</v>
      </c>
      <c r="D13">
        <v>20</v>
      </c>
      <c r="E13">
        <v>10000</v>
      </c>
      <c r="F13">
        <v>2.5</v>
      </c>
      <c r="G13">
        <v>6.6666670000000003</v>
      </c>
      <c r="H13">
        <f t="shared" ref="H13:H17" si="4">20/F13</f>
        <v>8</v>
      </c>
      <c r="I13">
        <f t="shared" ref="I13:I17" si="5">ROUND(H13,0)</f>
        <v>8</v>
      </c>
      <c r="J13">
        <f t="shared" ref="J13:J17" si="6">20/G13</f>
        <v>2.9999998500000071</v>
      </c>
      <c r="K13">
        <f t="shared" ref="K13:K17" si="7">ROUND(J13,0)</f>
        <v>3</v>
      </c>
    </row>
    <row r="14" spans="1:11" x14ac:dyDescent="0.2">
      <c r="A14" t="s">
        <v>13</v>
      </c>
      <c r="B14" t="s">
        <v>12</v>
      </c>
      <c r="C14" s="4" t="s">
        <v>17</v>
      </c>
      <c r="D14">
        <v>20</v>
      </c>
      <c r="E14">
        <v>10000</v>
      </c>
      <c r="F14">
        <v>6.6666670000000003</v>
      </c>
      <c r="G14">
        <v>6.6666670000000003</v>
      </c>
      <c r="H14">
        <f t="shared" si="4"/>
        <v>2.9999998500000071</v>
      </c>
      <c r="I14">
        <f t="shared" si="5"/>
        <v>3</v>
      </c>
      <c r="J14">
        <f t="shared" si="6"/>
        <v>2.9999998500000071</v>
      </c>
      <c r="K14">
        <f t="shared" si="7"/>
        <v>3</v>
      </c>
    </row>
    <row r="15" spans="1:11" x14ac:dyDescent="0.2">
      <c r="A15" t="s">
        <v>13</v>
      </c>
      <c r="B15" t="s">
        <v>12</v>
      </c>
      <c r="C15" s="4" t="s">
        <v>17</v>
      </c>
      <c r="D15">
        <v>20</v>
      </c>
      <c r="E15">
        <v>10000</v>
      </c>
      <c r="F15">
        <v>6.6666670000000003</v>
      </c>
      <c r="G15">
        <v>2.2222219999999999</v>
      </c>
      <c r="H15">
        <f t="shared" si="4"/>
        <v>2.9999998500000071</v>
      </c>
      <c r="I15">
        <f t="shared" si="5"/>
        <v>3</v>
      </c>
      <c r="J15">
        <f t="shared" si="6"/>
        <v>9.0000009000000905</v>
      </c>
      <c r="K15">
        <f t="shared" si="7"/>
        <v>9</v>
      </c>
    </row>
    <row r="16" spans="1:11" x14ac:dyDescent="0.2">
      <c r="A16" t="s">
        <v>13</v>
      </c>
      <c r="B16" t="s">
        <v>12</v>
      </c>
      <c r="C16" s="4" t="s">
        <v>17</v>
      </c>
      <c r="D16">
        <v>20</v>
      </c>
      <c r="E16">
        <v>10000</v>
      </c>
      <c r="F16">
        <v>2.2222219999999999</v>
      </c>
      <c r="G16">
        <v>2.2222219999999999</v>
      </c>
      <c r="H16">
        <f t="shared" si="4"/>
        <v>9.0000009000000905</v>
      </c>
      <c r="I16">
        <f t="shared" si="5"/>
        <v>9</v>
      </c>
      <c r="J16">
        <f t="shared" si="6"/>
        <v>9.0000009000000905</v>
      </c>
      <c r="K16">
        <f t="shared" si="7"/>
        <v>9</v>
      </c>
    </row>
    <row r="17" spans="1:11" x14ac:dyDescent="0.2">
      <c r="A17" t="s">
        <v>13</v>
      </c>
      <c r="B17" t="s">
        <v>12</v>
      </c>
      <c r="C17" s="4" t="s">
        <v>17</v>
      </c>
      <c r="D17">
        <v>20</v>
      </c>
      <c r="E17">
        <v>10000</v>
      </c>
      <c r="F17">
        <v>0.66666700000000001</v>
      </c>
      <c r="G17">
        <v>0.66666700000000001</v>
      </c>
      <c r="H17">
        <f t="shared" si="4"/>
        <v>29.999985000007499</v>
      </c>
      <c r="I17">
        <f t="shared" si="5"/>
        <v>30</v>
      </c>
      <c r="J17">
        <f t="shared" si="6"/>
        <v>29.999985000007499</v>
      </c>
      <c r="K17">
        <f t="shared" si="7"/>
        <v>30</v>
      </c>
    </row>
  </sheetData>
  <pageMargins left="0.7" right="0.7" top="0.75" bottom="0.75" header="0.3" footer="0.3"/>
  <pageSetup orientation="portrait" horizontalDpi="0" verticalDpi="0"/>
  <ignoredErrors>
    <ignoredError sqref="J10:J17 J2:J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2A4A-F623-FF4D-83FA-6B8CDC3C55E3}">
  <dimension ref="A1:A15"/>
  <sheetViews>
    <sheetView workbookViewId="0">
      <selection activeCell="A26" sqref="A26"/>
    </sheetView>
  </sheetViews>
  <sheetFormatPr baseColWidth="10" defaultRowHeight="16" x14ac:dyDescent="0.2"/>
  <cols>
    <col min="1" max="1" width="246.83203125" style="3" customWidth="1"/>
    <col min="2" max="16384" width="10.83203125" style="3"/>
  </cols>
  <sheetData>
    <row r="1" spans="1:1" ht="34" x14ac:dyDescent="0.2">
      <c r="A1" s="3" t="s">
        <v>9</v>
      </c>
    </row>
    <row r="2" spans="1:1" ht="17" x14ac:dyDescent="0.2">
      <c r="A2" s="3" t="s">
        <v>10</v>
      </c>
    </row>
    <row r="3" spans="1:1" ht="34" x14ac:dyDescent="0.2">
      <c r="A3" s="3" t="s">
        <v>18</v>
      </c>
    </row>
    <row r="5" spans="1:1" x14ac:dyDescent="0.2">
      <c r="A5" s="1" t="s">
        <v>19</v>
      </c>
    </row>
    <row r="6" spans="1:1" x14ac:dyDescent="0.2">
      <c r="A6" s="1" t="s">
        <v>20</v>
      </c>
    </row>
    <row r="7" spans="1:1" x14ac:dyDescent="0.2">
      <c r="A7" s="1" t="s">
        <v>21</v>
      </c>
    </row>
    <row r="8" spans="1:1" x14ac:dyDescent="0.2">
      <c r="A8" s="1" t="s">
        <v>22</v>
      </c>
    </row>
    <row r="9" spans="1:1" x14ac:dyDescent="0.2">
      <c r="A9" s="1" t="s">
        <v>23</v>
      </c>
    </row>
    <row r="10" spans="1:1" x14ac:dyDescent="0.2">
      <c r="A10" s="1" t="s">
        <v>24</v>
      </c>
    </row>
    <row r="11" spans="1:1" x14ac:dyDescent="0.2">
      <c r="A11" s="1" t="s">
        <v>25</v>
      </c>
    </row>
    <row r="12" spans="1:1" x14ac:dyDescent="0.2">
      <c r="A12" s="1" t="s">
        <v>26</v>
      </c>
    </row>
    <row r="13" spans="1:1" x14ac:dyDescent="0.2">
      <c r="A13" s="1" t="s">
        <v>27</v>
      </c>
    </row>
    <row r="14" spans="1:1" x14ac:dyDescent="0.2">
      <c r="A14" s="1" t="s">
        <v>28</v>
      </c>
    </row>
    <row r="15" spans="1:1" x14ac:dyDescent="0.2">
      <c r="A15"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Ritwika Vallomparambath PanikkasserySugasree</dc:creator>
  <cp:lastModifiedBy>Ritwika Vallomparambath PanikkasserySugasree</cp:lastModifiedBy>
  <dcterms:created xsi:type="dcterms:W3CDTF">2025-12-30T17:44:08Z</dcterms:created>
  <dcterms:modified xsi:type="dcterms:W3CDTF">2025-12-31T14:11:17Z</dcterms:modified>
</cp:coreProperties>
</file>